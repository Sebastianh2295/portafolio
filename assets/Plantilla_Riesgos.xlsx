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24" customWidth="1" min="4" max="4"/>
    <col width="50" customWidth="1" min="5" max="5"/>
    <col width="15" customWidth="1" min="6" max="6"/>
    <col width="15" customWidth="1" min="7" max="7"/>
    <col width="12" customWidth="1" min="8" max="8"/>
    <col width="10" customWidth="1" min="9" max="9"/>
    <col width="50" customWidth="1" min="10" max="10"/>
    <col width="50" customWidth="1" min="11" max="11"/>
    <col width="15" customWidth="1" min="12" max="12"/>
    <col width="15" customWidth="1" min="13" max="13"/>
    <col width="12" customWidth="1" min="14" max="14"/>
    <col width="10" customWidth="1" min="15" max="15"/>
  </cols>
  <sheetData>
    <row r="1">
      <c r="A1" s="1" t="inlineStr">
        <is>
          <t>Registro de riesgos — [Instancia, ej.: Comité Operativo] – Proyecto [Nombre] — dd/mm/aaaa</t>
        </is>
      </c>
    </row>
    <row r="3" ht="32" customHeight="1">
      <c r="A3" s="2" t="inlineStr">
        <is>
          <t>No.</t>
        </is>
      </c>
      <c r="B3" s="2" t="inlineStr">
        <is>
          <t>Tipo</t>
        </is>
      </c>
      <c r="C3" s="2" t="inlineStr">
        <is>
          <t>Estado</t>
        </is>
      </c>
      <c r="D3" s="2" t="inlineStr">
        <is>
          <t>Responsable</t>
        </is>
      </c>
      <c r="E3" s="2" t="inlineStr">
        <is>
          <t>Descripción del riesgo</t>
        </is>
      </c>
      <c r="F3" s="2" t="inlineStr">
        <is>
          <t>Probabilidad (inherente)</t>
        </is>
      </c>
      <c r="G3" s="2" t="inlineStr">
        <is>
          <t>Impacto (inherente)</t>
        </is>
      </c>
      <c r="H3" s="2" t="inlineStr">
        <is>
          <t>Calificación</t>
        </is>
      </c>
      <c r="I3" s="2" t="inlineStr">
        <is>
          <t>Nivel</t>
        </is>
      </c>
      <c r="J3" s="2" t="inlineStr">
        <is>
          <t>Plan de mitigación</t>
        </is>
      </c>
      <c r="K3" s="2" t="inlineStr">
        <is>
          <t>Plan de contingencia</t>
        </is>
      </c>
      <c r="L3" s="2" t="inlineStr">
        <is>
          <t>Probabilidad (residual)</t>
        </is>
      </c>
      <c r="M3" s="2" t="inlineStr">
        <is>
          <t>Impacto (residual)</t>
        </is>
      </c>
      <c r="N3" s="2" t="inlineStr">
        <is>
          <t>Calificación residual</t>
        </is>
      </c>
      <c r="O3" s="2" t="inlineStr">
        <is>
          <t>Nivel residual</t>
        </is>
      </c>
    </row>
    <row r="4">
      <c r="A4" s="3" t="n"/>
      <c r="B4" s="4" t="n"/>
      <c r="C4" s="4" t="n"/>
      <c r="D4" s="4" t="n"/>
      <c r="E4" s="4" t="n"/>
      <c r="F4" s="4" t="n"/>
      <c r="G4" s="4" t="n"/>
      <c r="H4" s="5">
        <f>IFERROR(VALUE(LEFT(F4,1))*VALUE(LEFT(G4,1)),"")</f>
        <v/>
      </c>
      <c r="I4" s="5">
        <f>IF(H4="","",IF(H4&gt;12,"Alto",IF(H4&gt;6,"Medio","Bajo")))</f>
        <v/>
      </c>
      <c r="J4" s="4" t="n"/>
      <c r="K4" s="4" t="n"/>
      <c r="L4" s="4" t="n"/>
      <c r="M4" s="4" t="n"/>
      <c r="N4" s="6">
        <f>IFERROR(VALUE(LEFT(L4,1))*VALUE(LEFT(M4,1)),"")</f>
        <v/>
      </c>
      <c r="O4" s="6">
        <f>IF(N4="","",IF(N4&gt;12,"Alto",IF(N4&gt;6,"Medio","Bajo")))</f>
        <v/>
      </c>
    </row>
    <row r="5">
      <c r="A5" s="3" t="n"/>
      <c r="B5" s="4" t="n"/>
      <c r="C5" s="4" t="n"/>
      <c r="D5" s="4" t="n"/>
      <c r="E5" s="4" t="n"/>
      <c r="F5" s="4" t="n"/>
      <c r="G5" s="4" t="n"/>
      <c r="H5" s="5">
        <f>IFERROR(VALUE(LEFT(F5,1))*VALUE(LEFT(G5,1)),"")</f>
        <v/>
      </c>
      <c r="I5" s="5">
        <f>IF(H5="","",IF(H5&gt;12,"Alto",IF(H5&gt;6,"Medio","Bajo")))</f>
        <v/>
      </c>
      <c r="J5" s="4" t="n"/>
      <c r="K5" s="4" t="n"/>
      <c r="L5" s="4" t="n"/>
      <c r="M5" s="4" t="n"/>
      <c r="N5" s="6">
        <f>IFERROR(VALUE(LEFT(L5,1))*VALUE(LEFT(M5,1)),"")</f>
        <v/>
      </c>
      <c r="O5" s="6">
        <f>IF(N5="","",IF(N5&gt;12,"Alto",IF(N5&gt;6,"Medio","Bajo")))</f>
        <v/>
      </c>
    </row>
    <row r="6">
      <c r="A6" s="3" t="n"/>
      <c r="B6" s="4" t="n"/>
      <c r="C6" s="4" t="n"/>
      <c r="D6" s="4" t="n"/>
      <c r="E6" s="4" t="n"/>
      <c r="F6" s="4" t="n"/>
      <c r="G6" s="4" t="n"/>
      <c r="H6" s="5">
        <f>IFERROR(VALUE(LEFT(F6,1))*VALUE(LEFT(G6,1)),"")</f>
        <v/>
      </c>
      <c r="I6" s="5">
        <f>IF(H6="","",IF(H6&gt;12,"Alto",IF(H6&gt;6,"Medio","Bajo")))</f>
        <v/>
      </c>
      <c r="J6" s="4" t="n"/>
      <c r="K6" s="4" t="n"/>
      <c r="L6" s="4" t="n"/>
      <c r="M6" s="4" t="n"/>
      <c r="N6" s="6">
        <f>IFERROR(VALUE(LEFT(L6,1))*VALUE(LEFT(M6,1)),"")</f>
        <v/>
      </c>
      <c r="O6" s="6">
        <f>IF(N6="","",IF(N6&gt;12,"Alto",IF(N6&gt;6,"Medio","Bajo")))</f>
        <v/>
      </c>
    </row>
    <row r="7">
      <c r="A7" s="3" t="n"/>
      <c r="B7" s="4" t="n"/>
      <c r="C7" s="4" t="n"/>
      <c r="D7" s="4" t="n"/>
      <c r="E7" s="4" t="n"/>
      <c r="F7" s="4" t="n"/>
      <c r="G7" s="4" t="n"/>
      <c r="H7" s="5">
        <f>IFERROR(VALUE(LEFT(F7,1))*VALUE(LEFT(G7,1)),"")</f>
        <v/>
      </c>
      <c r="I7" s="5">
        <f>IF(H7="","",IF(H7&gt;12,"Alto",IF(H7&gt;6,"Medio","Bajo")))</f>
        <v/>
      </c>
      <c r="J7" s="4" t="n"/>
      <c r="K7" s="4" t="n"/>
      <c r="L7" s="4" t="n"/>
      <c r="M7" s="4" t="n"/>
      <c r="N7" s="6">
        <f>IFERROR(VALUE(LEFT(L7,1))*VALUE(LEFT(M7,1)),"")</f>
        <v/>
      </c>
      <c r="O7" s="6">
        <f>IF(N7="","",IF(N7&gt;12,"Alto",IF(N7&gt;6,"Medio","Bajo")))</f>
        <v/>
      </c>
    </row>
    <row r="8">
      <c r="A8" s="3" t="n"/>
      <c r="B8" s="4" t="n"/>
      <c r="C8" s="4" t="n"/>
      <c r="D8" s="4" t="n"/>
      <c r="E8" s="4" t="n"/>
      <c r="F8" s="4" t="n"/>
      <c r="G8" s="4" t="n"/>
      <c r="H8" s="5">
        <f>IFERROR(VALUE(LEFT(F8,1))*VALUE(LEFT(G8,1)),"")</f>
        <v/>
      </c>
      <c r="I8" s="5">
        <f>IF(H8="","",IF(H8&gt;12,"Alto",IF(H8&gt;6,"Medio","Bajo")))</f>
        <v/>
      </c>
      <c r="J8" s="4" t="n"/>
      <c r="K8" s="4" t="n"/>
      <c r="L8" s="4" t="n"/>
      <c r="M8" s="4" t="n"/>
      <c r="N8" s="6">
        <f>IFERROR(VALUE(LEFT(L8,1))*VALUE(LEFT(M8,1)),"")</f>
        <v/>
      </c>
      <c r="O8" s="6">
        <f>IF(N8="","",IF(N8&gt;12,"Alto",IF(N8&gt;6,"Medio","Bajo")))</f>
        <v/>
      </c>
    </row>
    <row r="9">
      <c r="H9">
        <f>IFERROR(VALUE(LEFT(F9,1))*VALUE(LEFT(G9,1)),"")</f>
        <v/>
      </c>
      <c r="I9">
        <f>IF(H9="","",IF(H9&gt;12,"Alto",IF(H9&gt;6,"Medio","Bajo")))</f>
        <v/>
      </c>
      <c r="N9">
        <f>IFERROR(VALUE(LEFT(L9,1))*VALUE(LEFT(M9,1)),"")</f>
        <v/>
      </c>
      <c r="O9">
        <f>IF(N9="","",IF(N9&gt;12,"Alto",IF(N9&gt;6,"Medio","Bajo")))</f>
        <v/>
      </c>
    </row>
    <row r="10">
      <c r="H10">
        <f>IFERROR(VALUE(LEFT(F10,1))*VALUE(LEFT(G10,1)),"")</f>
        <v/>
      </c>
      <c r="I10">
        <f>IF(H10="","",IF(H10&gt;12,"Alto",IF(H10&gt;6,"Medio","Bajo")))</f>
        <v/>
      </c>
      <c r="N10">
        <f>IFERROR(VALUE(LEFT(L10,1))*VALUE(LEFT(M10,1)),"")</f>
        <v/>
      </c>
      <c r="O10">
        <f>IF(N10="","",IF(N10&gt;12,"Alto",IF(N10&gt;6,"Medio","Bajo")))</f>
        <v/>
      </c>
    </row>
    <row r="11">
      <c r="H11">
        <f>IFERROR(VALUE(LEFT(F11,1))*VALUE(LEFT(G11,1)),"")</f>
        <v/>
      </c>
      <c r="I11">
        <f>IF(H11="","",IF(H11&gt;12,"Alto",IF(H11&gt;6,"Medio","Bajo")))</f>
        <v/>
      </c>
      <c r="N11">
        <f>IFERROR(VALUE(LEFT(L11,1))*VALUE(LEFT(M11,1)),"")</f>
        <v/>
      </c>
      <c r="O11">
        <f>IF(N11="","",IF(N11&gt;12,"Alto",IF(N11&gt;6,"Medio","Bajo")))</f>
        <v/>
      </c>
    </row>
    <row r="12">
      <c r="H12">
        <f>IFERROR(VALUE(LEFT(F12,1))*VALUE(LEFT(G12,1)),"")</f>
        <v/>
      </c>
      <c r="I12">
        <f>IF(H12="","",IF(H12&gt;12,"Alto",IF(H12&gt;6,"Medio","Bajo")))</f>
        <v/>
      </c>
      <c r="N12">
        <f>IFERROR(VALUE(LEFT(L12,1))*VALUE(LEFT(M12,1)),"")</f>
        <v/>
      </c>
      <c r="O12">
        <f>IF(N12="","",IF(N12&gt;12,"Alto",IF(N12&gt;6,"Medio","Bajo")))</f>
        <v/>
      </c>
    </row>
    <row r="13">
      <c r="H13">
        <f>IFERROR(VALUE(LEFT(F13,1))*VALUE(LEFT(G13,1)),"")</f>
        <v/>
      </c>
      <c r="I13">
        <f>IF(H13="","",IF(H13&gt;12,"Alto",IF(H13&gt;6,"Medio","Bajo")))</f>
        <v/>
      </c>
      <c r="N13">
        <f>IFERROR(VALUE(LEFT(L13,1))*VALUE(LEFT(M13,1)),"")</f>
        <v/>
      </c>
      <c r="O13">
        <f>IF(N13="","",IF(N13&gt;12,"Alto",IF(N13&gt;6,"Medio","Bajo")))</f>
        <v/>
      </c>
    </row>
    <row r="14">
      <c r="H14">
        <f>IFERROR(VALUE(LEFT(F14,1))*VALUE(LEFT(G14,1)),"")</f>
        <v/>
      </c>
      <c r="I14">
        <f>IF(H14="","",IF(H14&gt;12,"Alto",IF(H14&gt;6,"Medio","Bajo")))</f>
        <v/>
      </c>
      <c r="N14">
        <f>IFERROR(VALUE(LEFT(L14,1))*VALUE(LEFT(M14,1)),"")</f>
        <v/>
      </c>
      <c r="O14">
        <f>IF(N14="","",IF(N14&gt;12,"Alto",IF(N14&gt;6,"Medio","Bajo")))</f>
        <v/>
      </c>
    </row>
    <row r="15">
      <c r="H15">
        <f>IFERROR(VALUE(LEFT(F15,1))*VALUE(LEFT(G15,1)),"")</f>
        <v/>
      </c>
      <c r="I15">
        <f>IF(H15="","",IF(H15&gt;12,"Alto",IF(H15&gt;6,"Medio","Bajo")))</f>
        <v/>
      </c>
      <c r="N15">
        <f>IFERROR(VALUE(LEFT(L15,1))*VALUE(LEFT(M15,1)),"")</f>
        <v/>
      </c>
      <c r="O15">
        <f>IF(N15="","",IF(N15&gt;12,"Alto",IF(N15&gt;6,"Medio","Bajo")))</f>
        <v/>
      </c>
    </row>
    <row r="16">
      <c r="H16">
        <f>IFERROR(VALUE(LEFT(F16,1))*VALUE(LEFT(G16,1)),"")</f>
        <v/>
      </c>
      <c r="I16">
        <f>IF(H16="","",IF(H16&gt;12,"Alto",IF(H16&gt;6,"Medio","Bajo")))</f>
        <v/>
      </c>
      <c r="N16">
        <f>IFERROR(VALUE(LEFT(L16,1))*VALUE(LEFT(M16,1)),"")</f>
        <v/>
      </c>
      <c r="O16">
        <f>IF(N16="","",IF(N16&gt;12,"Alto",IF(N16&gt;6,"Medio","Bajo")))</f>
        <v/>
      </c>
    </row>
    <row r="17">
      <c r="H17">
        <f>IFERROR(VALUE(LEFT(F17,1))*VALUE(LEFT(G17,1)),"")</f>
        <v/>
      </c>
      <c r="I17">
        <f>IF(H17="","",IF(H17&gt;12,"Alto",IF(H17&gt;6,"Medio","Bajo")))</f>
        <v/>
      </c>
      <c r="N17">
        <f>IFERROR(VALUE(LEFT(L17,1))*VALUE(LEFT(M17,1)),"")</f>
        <v/>
      </c>
      <c r="O17">
        <f>IF(N17="","",IF(N17&gt;12,"Alto",IF(N17&gt;6,"Medio","Bajo")))</f>
        <v/>
      </c>
    </row>
    <row r="18">
      <c r="H18">
        <f>IFERROR(VALUE(LEFT(F18,1))*VALUE(LEFT(G18,1)),"")</f>
        <v/>
      </c>
      <c r="I18">
        <f>IF(H18="","",IF(H18&gt;12,"Alto",IF(H18&gt;6,"Medio","Bajo")))</f>
        <v/>
      </c>
      <c r="N18">
        <f>IFERROR(VALUE(LEFT(L18,1))*VALUE(LEFT(M18,1)),"")</f>
        <v/>
      </c>
      <c r="O18">
        <f>IF(N18="","",IF(N18&gt;12,"Alto",IF(N18&gt;6,"Medio","Bajo")))</f>
        <v/>
      </c>
    </row>
    <row r="19">
      <c r="H19">
        <f>IFERROR(VALUE(LEFT(F19,1))*VALUE(LEFT(G19,1)),"")</f>
        <v/>
      </c>
      <c r="I19">
        <f>IF(H19="","",IF(H19&gt;12,"Alto",IF(H19&gt;6,"Medio","Bajo")))</f>
        <v/>
      </c>
      <c r="N19">
        <f>IFERROR(VALUE(LEFT(L19,1))*VALUE(LEFT(M19,1)),"")</f>
        <v/>
      </c>
      <c r="O19">
        <f>IF(N19="","",IF(N19&gt;12,"Alto",IF(N19&gt;6,"Medio","Bajo")))</f>
        <v/>
      </c>
    </row>
    <row r="20">
      <c r="H20">
        <f>IFERROR(VALUE(LEFT(F20,1))*VALUE(LEFT(G20,1)),"")</f>
        <v/>
      </c>
      <c r="I20">
        <f>IF(H20="","",IF(H20&gt;12,"Alto",IF(H20&gt;6,"Medio","Bajo")))</f>
        <v/>
      </c>
      <c r="N20">
        <f>IFERROR(VALUE(LEFT(L20,1))*VALUE(LEFT(M20,1)),"")</f>
        <v/>
      </c>
      <c r="O20">
        <f>IF(N20="","",IF(N20&gt;12,"Alto",IF(N20&gt;6,"Medio","Bajo")))</f>
        <v/>
      </c>
    </row>
    <row r="21">
      <c r="H21">
        <f>IFERROR(VALUE(LEFT(F21,1))*VALUE(LEFT(G21,1)),"")</f>
        <v/>
      </c>
      <c r="I21">
        <f>IF(H21="","",IF(H21&gt;12,"Alto",IF(H21&gt;6,"Medio","Bajo")))</f>
        <v/>
      </c>
      <c r="N21">
        <f>IFERROR(VALUE(LEFT(L21,1))*VALUE(LEFT(M21,1)),"")</f>
        <v/>
      </c>
      <c r="O21">
        <f>IF(N21="","",IF(N21&gt;12,"Alto",IF(N21&gt;6,"Medio","Bajo")))</f>
        <v/>
      </c>
    </row>
    <row r="22">
      <c r="H22">
        <f>IFERROR(VALUE(LEFT(F22,1))*VALUE(LEFT(G22,1)),"")</f>
        <v/>
      </c>
      <c r="I22">
        <f>IF(H22="","",IF(H22&gt;12,"Alto",IF(H22&gt;6,"Medio","Bajo")))</f>
        <v/>
      </c>
      <c r="N22">
        <f>IFERROR(VALUE(LEFT(L22,1))*VALUE(LEFT(M22,1)),"")</f>
        <v/>
      </c>
      <c r="O22">
        <f>IF(N22="","",IF(N22&gt;12,"Alto",IF(N22&gt;6,"Medio","Bajo")))</f>
        <v/>
      </c>
    </row>
    <row r="23">
      <c r="H23">
        <f>IFERROR(VALUE(LEFT(F23,1))*VALUE(LEFT(G23,1)),"")</f>
        <v/>
      </c>
      <c r="I23">
        <f>IF(H23="","",IF(H23&gt;12,"Alto",IF(H23&gt;6,"Medio","Bajo")))</f>
        <v/>
      </c>
      <c r="N23">
        <f>IFERROR(VALUE(LEFT(L23,1))*VALUE(LEFT(M23,1)),"")</f>
        <v/>
      </c>
      <c r="O23">
        <f>IF(N23="","",IF(N23&gt;12,"Alto",IF(N23&gt;6,"Medio","Bajo")))</f>
        <v/>
      </c>
    </row>
    <row r="24">
      <c r="H24">
        <f>IFERROR(VALUE(LEFT(F24,1))*VALUE(LEFT(G24,1)),"")</f>
        <v/>
      </c>
      <c r="I24">
        <f>IF(H24="","",IF(H24&gt;12,"Alto",IF(H24&gt;6,"Medio","Bajo")))</f>
        <v/>
      </c>
      <c r="N24">
        <f>IFERROR(VALUE(LEFT(L24,1))*VALUE(LEFT(M24,1)),"")</f>
        <v/>
      </c>
      <c r="O24">
        <f>IF(N24="","",IF(N24&gt;12,"Alto",IF(N24&gt;6,"Medio","Bajo")))</f>
        <v/>
      </c>
    </row>
    <row r="25">
      <c r="H25">
        <f>IFERROR(VALUE(LEFT(F25,1))*VALUE(LEFT(G25,1)),"")</f>
        <v/>
      </c>
      <c r="I25">
        <f>IF(H25="","",IF(H25&gt;12,"Alto",IF(H25&gt;6,"Medio","Bajo")))</f>
        <v/>
      </c>
      <c r="N25">
        <f>IFERROR(VALUE(LEFT(L25,1))*VALUE(LEFT(M25,1)),"")</f>
        <v/>
      </c>
      <c r="O25">
        <f>IF(N25="","",IF(N25&gt;12,"Alto",IF(N25&gt;6,"Medio","Bajo")))</f>
        <v/>
      </c>
    </row>
    <row r="26">
      <c r="H26">
        <f>IFERROR(VALUE(LEFT(F26,1))*VALUE(LEFT(G26,1)),"")</f>
        <v/>
      </c>
      <c r="I26">
        <f>IF(H26="","",IF(H26&gt;12,"Alto",IF(H26&gt;6,"Medio","Bajo")))</f>
        <v/>
      </c>
      <c r="N26">
        <f>IFERROR(VALUE(LEFT(L26,1))*VALUE(LEFT(M26,1)),"")</f>
        <v/>
      </c>
      <c r="O26">
        <f>IF(N26="","",IF(N26&gt;12,"Alto",IF(N26&gt;6,"Medio","Bajo")))</f>
        <v/>
      </c>
    </row>
    <row r="27">
      <c r="H27">
        <f>IFERROR(VALUE(LEFT(F27,1))*VALUE(LEFT(G27,1)),"")</f>
        <v/>
      </c>
      <c r="I27">
        <f>IF(H27="","",IF(H27&gt;12,"Alto",IF(H27&gt;6,"Medio","Bajo")))</f>
        <v/>
      </c>
      <c r="N27">
        <f>IFERROR(VALUE(LEFT(L27,1))*VALUE(LEFT(M27,1)),"")</f>
        <v/>
      </c>
      <c r="O27">
        <f>IF(N27="","",IF(N27&gt;12,"Alto",IF(N27&gt;6,"Medio","Bajo")))</f>
        <v/>
      </c>
    </row>
    <row r="28">
      <c r="H28">
        <f>IFERROR(VALUE(LEFT(F28,1))*VALUE(LEFT(G28,1)),"")</f>
        <v/>
      </c>
      <c r="I28">
        <f>IF(H28="","",IF(H28&gt;12,"Alto",IF(H28&gt;6,"Medio","Bajo")))</f>
        <v/>
      </c>
      <c r="N28">
        <f>IFERROR(VALUE(LEFT(L28,1))*VALUE(LEFT(M28,1)),"")</f>
        <v/>
      </c>
      <c r="O28">
        <f>IF(N28="","",IF(N28&gt;12,"Alto",IF(N28&gt;6,"Medio","Bajo")))</f>
        <v/>
      </c>
    </row>
    <row r="29">
      <c r="H29">
        <f>IFERROR(VALUE(LEFT(F29,1))*VALUE(LEFT(G29,1)),"")</f>
        <v/>
      </c>
      <c r="I29">
        <f>IF(H29="","",IF(H29&gt;12,"Alto",IF(H29&gt;6,"Medio","Bajo")))</f>
        <v/>
      </c>
      <c r="N29">
        <f>IFERROR(VALUE(LEFT(L29,1))*VALUE(LEFT(M29,1)),"")</f>
        <v/>
      </c>
      <c r="O29">
        <f>IF(N29="","",IF(N29&gt;12,"Alto",IF(N29&gt;6,"Medio","Bajo")))</f>
        <v/>
      </c>
    </row>
    <row r="30">
      <c r="H30">
        <f>IFERROR(VALUE(LEFT(F30,1))*VALUE(LEFT(G30,1)),"")</f>
        <v/>
      </c>
      <c r="I30">
        <f>IF(H30="","",IF(H30&gt;12,"Alto",IF(H30&gt;6,"Medio","Bajo")))</f>
        <v/>
      </c>
      <c r="N30">
        <f>IFERROR(VALUE(LEFT(L30,1))*VALUE(LEFT(M30,1)),"")</f>
        <v/>
      </c>
      <c r="O30">
        <f>IF(N30="","",IF(N30&gt;12,"Alto",IF(N30&gt;6,"Medio","Bajo")))</f>
        <v/>
      </c>
    </row>
    <row r="31">
      <c r="H31">
        <f>IFERROR(VALUE(LEFT(F31,1))*VALUE(LEFT(G31,1)),"")</f>
        <v/>
      </c>
      <c r="I31">
        <f>IF(H31="","",IF(H31&gt;12,"Alto",IF(H31&gt;6,"Medio","Bajo")))</f>
        <v/>
      </c>
      <c r="N31">
        <f>IFERROR(VALUE(LEFT(L31,1))*VALUE(LEFT(M31,1)),"")</f>
        <v/>
      </c>
      <c r="O31">
        <f>IF(N31="","",IF(N31&gt;12,"Alto",IF(N31&gt;6,"Medio","Bajo")))</f>
        <v/>
      </c>
    </row>
    <row r="32">
      <c r="H32">
        <f>IFERROR(VALUE(LEFT(F32,1))*VALUE(LEFT(G32,1)),"")</f>
        <v/>
      </c>
      <c r="I32">
        <f>IF(H32="","",IF(H32&gt;12,"Alto",IF(H32&gt;6,"Medio","Bajo")))</f>
        <v/>
      </c>
      <c r="N32">
        <f>IFERROR(VALUE(LEFT(L32,1))*VALUE(LEFT(M32,1)),"")</f>
        <v/>
      </c>
      <c r="O32">
        <f>IF(N32="","",IF(N32&gt;12,"Alto",IF(N32&gt;6,"Medio","Bajo")))</f>
        <v/>
      </c>
    </row>
    <row r="33">
      <c r="H33">
        <f>IFERROR(VALUE(LEFT(F33,1))*VALUE(LEFT(G33,1)),"")</f>
        <v/>
      </c>
      <c r="I33">
        <f>IF(H33="","",IF(H33&gt;12,"Alto",IF(H33&gt;6,"Medio","Bajo")))</f>
        <v/>
      </c>
      <c r="N33">
        <f>IFERROR(VALUE(LEFT(L33,1))*VALUE(LEFT(M33,1)),"")</f>
        <v/>
      </c>
      <c r="O33">
        <f>IF(N33="","",IF(N33&gt;12,"Alto",IF(N33&gt;6,"Medio","Bajo")))</f>
        <v/>
      </c>
    </row>
    <row r="34">
      <c r="H34">
        <f>IFERROR(VALUE(LEFT(F34,1))*VALUE(LEFT(G34,1)),"")</f>
        <v/>
      </c>
      <c r="I34">
        <f>IF(H34="","",IF(H34&gt;12,"Alto",IF(H34&gt;6,"Medio","Bajo")))</f>
        <v/>
      </c>
      <c r="N34">
        <f>IFERROR(VALUE(LEFT(L34,1))*VALUE(LEFT(M34,1)),"")</f>
        <v/>
      </c>
      <c r="O34">
        <f>IF(N34="","",IF(N34&gt;12,"Alto",IF(N34&gt;6,"Medio","Bajo")))</f>
        <v/>
      </c>
    </row>
    <row r="35">
      <c r="H35">
        <f>IFERROR(VALUE(LEFT(F35,1))*VALUE(LEFT(G35,1)),"")</f>
        <v/>
      </c>
      <c r="I35">
        <f>IF(H35="","",IF(H35&gt;12,"Alto",IF(H35&gt;6,"Medio","Bajo")))</f>
        <v/>
      </c>
      <c r="N35">
        <f>IFERROR(VALUE(LEFT(L35,1))*VALUE(LEFT(M35,1)),"")</f>
        <v/>
      </c>
      <c r="O35">
        <f>IF(N35="","",IF(N35&gt;12,"Alto",IF(N35&gt;6,"Medio","Bajo")))</f>
        <v/>
      </c>
    </row>
    <row r="36">
      <c r="H36">
        <f>IFERROR(VALUE(LEFT(F36,1))*VALUE(LEFT(G36,1)),"")</f>
        <v/>
      </c>
      <c r="I36">
        <f>IF(H36="","",IF(H36&gt;12,"Alto",IF(H36&gt;6,"Medio","Bajo")))</f>
        <v/>
      </c>
      <c r="N36">
        <f>IFERROR(VALUE(LEFT(L36,1))*VALUE(LEFT(M36,1)),"")</f>
        <v/>
      </c>
      <c r="O36">
        <f>IF(N36="","",IF(N36&gt;12,"Alto",IF(N36&gt;6,"Medio","Bajo")))</f>
        <v/>
      </c>
    </row>
    <row r="37">
      <c r="H37">
        <f>IFERROR(VALUE(LEFT(F37,1))*VALUE(LEFT(G37,1)),"")</f>
        <v/>
      </c>
      <c r="I37">
        <f>IF(H37="","",IF(H37&gt;12,"Alto",IF(H37&gt;6,"Medio","Bajo")))</f>
        <v/>
      </c>
      <c r="N37">
        <f>IFERROR(VALUE(LEFT(L37,1))*VALUE(LEFT(M37,1)),"")</f>
        <v/>
      </c>
      <c r="O37">
        <f>IF(N37="","",IF(N37&gt;12,"Alto",IF(N37&gt;6,"Medio","Bajo")))</f>
        <v/>
      </c>
    </row>
    <row r="38">
      <c r="H38">
        <f>IFERROR(VALUE(LEFT(F38,1))*VALUE(LEFT(G38,1)),"")</f>
        <v/>
      </c>
      <c r="I38">
        <f>IF(H38="","",IF(H38&gt;12,"Alto",IF(H38&gt;6,"Medio","Bajo")))</f>
        <v/>
      </c>
      <c r="N38">
        <f>IFERROR(VALUE(LEFT(L38,1))*VALUE(LEFT(M38,1)),"")</f>
        <v/>
      </c>
      <c r="O38">
        <f>IF(N38="","",IF(N38&gt;12,"Alto",IF(N38&gt;6,"Medio","Bajo")))</f>
        <v/>
      </c>
    </row>
    <row r="39">
      <c r="H39">
        <f>IFERROR(VALUE(LEFT(F39,1))*VALUE(LEFT(G39,1)),"")</f>
        <v/>
      </c>
      <c r="I39">
        <f>IF(H39="","",IF(H39&gt;12,"Alto",IF(H39&gt;6,"Medio","Bajo")))</f>
        <v/>
      </c>
      <c r="N39">
        <f>IFERROR(VALUE(LEFT(L39,1))*VALUE(LEFT(M39,1)),"")</f>
        <v/>
      </c>
      <c r="O39">
        <f>IF(N39="","",IF(N39&gt;12,"Alto",IF(N39&gt;6,"Medio","Bajo")))</f>
        <v/>
      </c>
    </row>
    <row r="40">
      <c r="H40">
        <f>IFERROR(VALUE(LEFT(F40,1))*VALUE(LEFT(G40,1)),"")</f>
        <v/>
      </c>
      <c r="I40">
        <f>IF(H40="","",IF(H40&gt;12,"Alto",IF(H40&gt;6,"Medio","Bajo")))</f>
        <v/>
      </c>
      <c r="N40">
        <f>IFERROR(VALUE(LEFT(L40,1))*VALUE(LEFT(M40,1)),"")</f>
        <v/>
      </c>
      <c r="O40">
        <f>IF(N40="","",IF(N40&gt;12,"Alto",IF(N40&gt;6,"Medio","Bajo")))</f>
        <v/>
      </c>
    </row>
    <row r="41">
      <c r="H41">
        <f>IFERROR(VALUE(LEFT(F41,1))*VALUE(LEFT(G41,1)),"")</f>
        <v/>
      </c>
      <c r="I41">
        <f>IF(H41="","",IF(H41&gt;12,"Alto",IF(H41&gt;6,"Medio","Bajo")))</f>
        <v/>
      </c>
      <c r="N41">
        <f>IFERROR(VALUE(LEFT(L41,1))*VALUE(LEFT(M41,1)),"")</f>
        <v/>
      </c>
      <c r="O41">
        <f>IF(N41="","",IF(N41&gt;12,"Alto",IF(N41&gt;6,"Medio","Bajo")))</f>
        <v/>
      </c>
    </row>
    <row r="42">
      <c r="H42">
        <f>IFERROR(VALUE(LEFT(F42,1))*VALUE(LEFT(G42,1)),"")</f>
        <v/>
      </c>
      <c r="I42">
        <f>IF(H42="","",IF(H42&gt;12,"Alto",IF(H42&gt;6,"Medio","Bajo")))</f>
        <v/>
      </c>
      <c r="N42">
        <f>IFERROR(VALUE(LEFT(L42,1))*VALUE(LEFT(M42,1)),"")</f>
        <v/>
      </c>
      <c r="O42">
        <f>IF(N42="","",IF(N42&gt;12,"Alto",IF(N42&gt;6,"Medio","Bajo")))</f>
        <v/>
      </c>
    </row>
    <row r="43">
      <c r="H43">
        <f>IFERROR(VALUE(LEFT(F43,1))*VALUE(LEFT(G43,1)),"")</f>
        <v/>
      </c>
      <c r="I43">
        <f>IF(H43="","",IF(H43&gt;12,"Alto",IF(H43&gt;6,"Medio","Bajo")))</f>
        <v/>
      </c>
      <c r="N43">
        <f>IFERROR(VALUE(LEFT(L43,1))*VALUE(LEFT(M43,1)),"")</f>
        <v/>
      </c>
      <c r="O43">
        <f>IF(N43="","",IF(N43&gt;12,"Alto",IF(N43&gt;6,"Medio","Bajo")))</f>
        <v/>
      </c>
    </row>
    <row r="44">
      <c r="H44">
        <f>IFERROR(VALUE(LEFT(F44,1))*VALUE(LEFT(G44,1)),"")</f>
        <v/>
      </c>
      <c r="I44">
        <f>IF(H44="","",IF(H44&gt;12,"Alto",IF(H44&gt;6,"Medio","Bajo")))</f>
        <v/>
      </c>
      <c r="N44">
        <f>IFERROR(VALUE(LEFT(L44,1))*VALUE(LEFT(M44,1)),"")</f>
        <v/>
      </c>
      <c r="O44">
        <f>IF(N44="","",IF(N44&gt;12,"Alto",IF(N44&gt;6,"Medio","Bajo")))</f>
        <v/>
      </c>
    </row>
    <row r="45">
      <c r="H45">
        <f>IFERROR(VALUE(LEFT(F45,1))*VALUE(LEFT(G45,1)),"")</f>
        <v/>
      </c>
      <c r="I45">
        <f>IF(H45="","",IF(H45&gt;12,"Alto",IF(H45&gt;6,"Medio","Bajo")))</f>
        <v/>
      </c>
      <c r="N45">
        <f>IFERROR(VALUE(LEFT(L45,1))*VALUE(LEFT(M45,1)),"")</f>
        <v/>
      </c>
      <c r="O45">
        <f>IF(N45="","",IF(N45&gt;12,"Alto",IF(N45&gt;6,"Medio","Bajo")))</f>
        <v/>
      </c>
    </row>
    <row r="46">
      <c r="H46">
        <f>IFERROR(VALUE(LEFT(F46,1))*VALUE(LEFT(G46,1)),"")</f>
        <v/>
      </c>
      <c r="I46">
        <f>IF(H46="","",IF(H46&gt;12,"Alto",IF(H46&gt;6,"Medio","Bajo")))</f>
        <v/>
      </c>
      <c r="N46">
        <f>IFERROR(VALUE(LEFT(L46,1))*VALUE(LEFT(M46,1)),"")</f>
        <v/>
      </c>
      <c r="O46">
        <f>IF(N46="","",IF(N46&gt;12,"Alto",IF(N46&gt;6,"Medio","Bajo")))</f>
        <v/>
      </c>
    </row>
    <row r="47">
      <c r="H47">
        <f>IFERROR(VALUE(LEFT(F47,1))*VALUE(LEFT(G47,1)),"")</f>
        <v/>
      </c>
      <c r="I47">
        <f>IF(H47="","",IF(H47&gt;12,"Alto",IF(H47&gt;6,"Medio","Bajo")))</f>
        <v/>
      </c>
      <c r="N47">
        <f>IFERROR(VALUE(LEFT(L47,1))*VALUE(LEFT(M47,1)),"")</f>
        <v/>
      </c>
      <c r="O47">
        <f>IF(N47="","",IF(N47&gt;12,"Alto",IF(N47&gt;6,"Medio","Bajo")))</f>
        <v/>
      </c>
    </row>
    <row r="48">
      <c r="H48">
        <f>IFERROR(VALUE(LEFT(F48,1))*VALUE(LEFT(G48,1)),"")</f>
        <v/>
      </c>
      <c r="I48">
        <f>IF(H48="","",IF(H48&gt;12,"Alto",IF(H48&gt;6,"Medio","Bajo")))</f>
        <v/>
      </c>
      <c r="N48">
        <f>IFERROR(VALUE(LEFT(L48,1))*VALUE(LEFT(M48,1)),"")</f>
        <v/>
      </c>
      <c r="O48">
        <f>IF(N48="","",IF(N48&gt;12,"Alto",IF(N48&gt;6,"Medio","Bajo")))</f>
        <v/>
      </c>
    </row>
    <row r="49">
      <c r="H49">
        <f>IFERROR(VALUE(LEFT(F49,1))*VALUE(LEFT(G49,1)),"")</f>
        <v/>
      </c>
      <c r="I49">
        <f>IF(H49="","",IF(H49&gt;12,"Alto",IF(H49&gt;6,"Medio","Bajo")))</f>
        <v/>
      </c>
      <c r="N49">
        <f>IFERROR(VALUE(LEFT(L49,1))*VALUE(LEFT(M49,1)),"")</f>
        <v/>
      </c>
      <c r="O49">
        <f>IF(N49="","",IF(N49&gt;12,"Alto",IF(N49&gt;6,"Medio","Bajo")))</f>
        <v/>
      </c>
    </row>
    <row r="50">
      <c r="H50">
        <f>IFERROR(VALUE(LEFT(F50,1))*VALUE(LEFT(G50,1)),"")</f>
        <v/>
      </c>
      <c r="I50">
        <f>IF(H50="","",IF(H50&gt;12,"Alto",IF(H50&gt;6,"Medio","Bajo")))</f>
        <v/>
      </c>
      <c r="N50">
        <f>IFERROR(VALUE(LEFT(L50,1))*VALUE(LEFT(M50,1)),"")</f>
        <v/>
      </c>
      <c r="O50">
        <f>IF(N50="","",IF(N50&gt;12,"Alto",IF(N50&gt;6,"Medio","Bajo")))</f>
        <v/>
      </c>
    </row>
  </sheetData>
  <mergeCells count="1">
    <mergeCell ref="A1:O1"/>
  </mergeCells>
  <dataValidations count="6">
    <dataValidation sqref="B4:B50" showDropDown="0" showInputMessage="0" showErrorMessage="0" allowBlank="1" type="list">
      <formula1>"Amenaza,Oportunidad"</formula1>
    </dataValidation>
    <dataValidation sqref="C4:C50" showDropDown="0" showInputMessage="0" showErrorMessage="0" allowBlank="1" type="list">
      <formula1>"Abierto,En seguimiento,Materializado,Cerrado"</formula1>
    </dataValidation>
    <dataValidation sqref="F4:F50" showDropDown="0" showInputMessage="0" showErrorMessage="0" allowBlank="1" type="list">
      <formula1>"1 (Muy baja),2 (Baja),3 (Moderada),4 (Alta),5 (Muy alta)"</formula1>
    </dataValidation>
    <dataValidation sqref="G4:G50" showDropDown="0" showInputMessage="0" showErrorMessage="0" allowBlank="1" type="list">
      <formula1>"1 (Insignificante),2 (Menor),3 (Moderado),4 (Mayor),5 (Catastrófico)"</formula1>
    </dataValidation>
    <dataValidation sqref="L4:L50" showDropDown="0" showInputMessage="0" showErrorMessage="0" allowBlank="1" type="list">
      <formula1>"1 (Muy baja),2 (Baja),3 (Moderada),4 (Alta),5 (Muy alta)"</formula1>
    </dataValidation>
    <dataValidation sqref="M4:M50" showDropDown="0" showInputMessage="0" showErrorMessage="0" allowBlank="1" type="list">
      <formula1>"1 (Insignificante),2 (Menor),3 (Moderado),4 (Mayor),5 (Catastrófico)"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Portafolio PMO</dc:creator>
  <dcterms:created xmlns:dcterms="http://purl.org/dc/terms/" xmlns:xsi="http://www.w3.org/2001/XMLSchema-instance" xsi:type="dcterms:W3CDTF">2026-09-29T17:47:53Z</dcterms:created>
  <dcterms:modified xmlns:dcterms="http://purl.org/dc/terms/" xmlns:xsi="http://www.w3.org/2001/XMLSchema-instance" xsi:type="dcterms:W3CDTF">2026-09-29T17:54:40Z</dcterms:modified>
  <cp:lastModifiedBy>Portafolio PMO</cp:lastModifiedBy>
</cp:coreProperties>
</file>